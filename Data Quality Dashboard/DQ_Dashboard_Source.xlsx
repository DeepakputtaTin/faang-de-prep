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tta\dashboard\"/>
    </mc:Choice>
  </mc:AlternateContent>
  <xr:revisionPtr revIDLastSave="0" documentId="13_ncr:1_{C0D106D0-B505-4A45-9ECE-2D6616EC8F37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Customer_Master" sheetId="1" r:id="rId1"/>
    <sheet name="Sales_Orders" sheetId="2" r:id="rId2"/>
    <sheet name="Product_Table" sheetId="3" r:id="rId3"/>
    <sheet name="DQ_Metrics" sheetId="4" r:id="rId4"/>
    <sheet name="Issue_Lo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4" l="1"/>
  <c r="F21" i="4"/>
  <c r="F20" i="4"/>
  <c r="B16" i="4"/>
  <c r="C15" i="4"/>
  <c r="C14" i="4"/>
  <c r="C13" i="4"/>
  <c r="C12" i="4"/>
  <c r="D8" i="4"/>
  <c r="B8" i="4"/>
  <c r="D7" i="4"/>
  <c r="D6" i="4"/>
  <c r="D5" i="4"/>
  <c r="D4" i="4"/>
</calcChain>
</file>

<file path=xl/sharedStrings.xml><?xml version="1.0" encoding="utf-8"?>
<sst xmlns="http://schemas.openxmlformats.org/spreadsheetml/2006/main" count="359" uniqueCount="217">
  <si>
    <t>Customer Master Table — Source Data</t>
  </si>
  <si>
    <t>Customer_ID</t>
  </si>
  <si>
    <t>Customer_Name</t>
  </si>
  <si>
    <t>Email</t>
  </si>
  <si>
    <t>Phone</t>
  </si>
  <si>
    <t>Country</t>
  </si>
  <si>
    <t>Created_Date</t>
  </si>
  <si>
    <t>Status</t>
  </si>
  <si>
    <t>DQ_Flag</t>
  </si>
  <si>
    <t>1001</t>
  </si>
  <si>
    <t>John Smith</t>
  </si>
  <si>
    <t>john.smith@email.com</t>
  </si>
  <si>
    <t>202-555-0182</t>
  </si>
  <si>
    <t>USA</t>
  </si>
  <si>
    <t>2025-01-10</t>
  </si>
  <si>
    <t>Active</t>
  </si>
  <si>
    <t>✓ Clean</t>
  </si>
  <si>
    <t>1002</t>
  </si>
  <si>
    <t>Maria Garcia</t>
  </si>
  <si>
    <t>maria@email</t>
  </si>
  <si>
    <t>2025550190</t>
  </si>
  <si>
    <t>United States</t>
  </si>
  <si>
    <t>2025-01-11</t>
  </si>
  <si>
    <t>✗ 3 Issues</t>
  </si>
  <si>
    <t>1003</t>
  </si>
  <si>
    <t>Ravi Patel</t>
  </si>
  <si>
    <t>ravi.patel@email.com</t>
  </si>
  <si>
    <t>NULL</t>
  </si>
  <si>
    <t>US</t>
  </si>
  <si>
    <t>2025-01-12</t>
  </si>
  <si>
    <t>✗ NULL Phone</t>
  </si>
  <si>
    <t>1004</t>
  </si>
  <si>
    <t>Li Wei</t>
  </si>
  <si>
    <t>li.wei@email.com</t>
  </si>
  <si>
    <t>202-555-0175</t>
  </si>
  <si>
    <t>China</t>
  </si>
  <si>
    <t>maria@email.com</t>
  </si>
  <si>
    <t>202-555-0190</t>
  </si>
  <si>
    <t>✗ Duplicate</t>
  </si>
  <si>
    <t>Sarah Johnson</t>
  </si>
  <si>
    <t>sarah@email.com</t>
  </si>
  <si>
    <t>202-555-0147</t>
  </si>
  <si>
    <t>2025-01-13</t>
  </si>
  <si>
    <t>✗ NULL ID</t>
  </si>
  <si>
    <t>1006</t>
  </si>
  <si>
    <t>Carlos Diaz</t>
  </si>
  <si>
    <t>carlos@email.com</t>
  </si>
  <si>
    <t>202-555-0199</t>
  </si>
  <si>
    <t>Mexico</t>
  </si>
  <si>
    <t>2025-01-14</t>
  </si>
  <si>
    <t>Inactive</t>
  </si>
  <si>
    <t>Sales Orders Table — Source Data</t>
  </si>
  <si>
    <t>Order_ID</t>
  </si>
  <si>
    <t>Order_Date</t>
  </si>
  <si>
    <t>Amount</t>
  </si>
  <si>
    <t>Currency</t>
  </si>
  <si>
    <t>Revenue_Valid</t>
  </si>
  <si>
    <t>SO1001</t>
  </si>
  <si>
    <t>2025-02-01</t>
  </si>
  <si>
    <t>USD</t>
  </si>
  <si>
    <t>Completed</t>
  </si>
  <si>
    <t>Yes</t>
  </si>
  <si>
    <t>SO1002</t>
  </si>
  <si>
    <t>2025-02-02</t>
  </si>
  <si>
    <t>SO1003</t>
  </si>
  <si>
    <t>2025-02-03</t>
  </si>
  <si>
    <t>✗ Negative Amt</t>
  </si>
  <si>
    <t>No</t>
  </si>
  <si>
    <t>SO1004</t>
  </si>
  <si>
    <t>Cancelled</t>
  </si>
  <si>
    <t>✗ Cancelled+Amt</t>
  </si>
  <si>
    <t>SO1005</t>
  </si>
  <si>
    <t>2025-02-04</t>
  </si>
  <si>
    <t>SO1006</t>
  </si>
  <si>
    <t>1005</t>
  </si>
  <si>
    <t>2025-02-05</t>
  </si>
  <si>
    <t>SO1007</t>
  </si>
  <si>
    <t>2025-02-06</t>
  </si>
  <si>
    <t>✗ NULL Amount</t>
  </si>
  <si>
    <t>Product Table — Source Data</t>
  </si>
  <si>
    <t>Product_ID</t>
  </si>
  <si>
    <t>Product_Name</t>
  </si>
  <si>
    <t>Category</t>
  </si>
  <si>
    <t>Price</t>
  </si>
  <si>
    <t>Created_By</t>
  </si>
  <si>
    <t>Sellable</t>
  </si>
  <si>
    <t>P100</t>
  </si>
  <si>
    <t>Laptop</t>
  </si>
  <si>
    <t>Electronics</t>
  </si>
  <si>
    <t>admin</t>
  </si>
  <si>
    <t>✗ Dup Name/Price</t>
  </si>
  <si>
    <t>P101</t>
  </si>
  <si>
    <t>Headphones</t>
  </si>
  <si>
    <t>electronics</t>
  </si>
  <si>
    <t>system</t>
  </si>
  <si>
    <t>✗ Category Case</t>
  </si>
  <si>
    <t>P102</t>
  </si>
  <si>
    <t>Desk Chair</t>
  </si>
  <si>
    <t>Furniture</t>
  </si>
  <si>
    <t>✗ NULL Price</t>
  </si>
  <si>
    <t>P103</t>
  </si>
  <si>
    <t>P104</t>
  </si>
  <si>
    <t>Monitor</t>
  </si>
  <si>
    <t>✗ NULL Owner</t>
  </si>
  <si>
    <t>Data Quality Metrics — Power BI Source</t>
  </si>
  <si>
    <t>A. Dimension Scores</t>
  </si>
  <si>
    <t>Dimension</t>
  </si>
  <si>
    <t>Weight (%)</t>
  </si>
  <si>
    <t>Score (0-100)</t>
  </si>
  <si>
    <t>Weighted Score</t>
  </si>
  <si>
    <t>Completeness</t>
  </si>
  <si>
    <t>Accuracy</t>
  </si>
  <si>
    <t>Consistency</t>
  </si>
  <si>
    <t>Validity</t>
  </si>
  <si>
    <t>TOTAL / OVERALL SCORE</t>
  </si>
  <si>
    <t>—</t>
  </si>
  <si>
    <t>B. Issues by Severity</t>
  </si>
  <si>
    <t>Severity</t>
  </si>
  <si>
    <t>Count</t>
  </si>
  <si>
    <t>% of Total</t>
  </si>
  <si>
    <t>Color Code</t>
  </si>
  <si>
    <t>Critical</t>
  </si>
  <si>
    <t>C00000</t>
  </si>
  <si>
    <t>High</t>
  </si>
  <si>
    <t>C55A11</t>
  </si>
  <si>
    <t>Medium</t>
  </si>
  <si>
    <t>2E75B6</t>
  </si>
  <si>
    <t>Low</t>
  </si>
  <si>
    <t>375623</t>
  </si>
  <si>
    <t>TOTAL</t>
  </si>
  <si>
    <t>C. Issues by Table</t>
  </si>
  <si>
    <t>Table</t>
  </si>
  <si>
    <t>Total Issues</t>
  </si>
  <si>
    <t>Customer Master</t>
  </si>
  <si>
    <t>Sales Orders</t>
  </si>
  <si>
    <t>Product Table</t>
  </si>
  <si>
    <t>D. KPI Targets vs Actual</t>
  </si>
  <si>
    <t>KPI</t>
  </si>
  <si>
    <t>Target</t>
  </si>
  <si>
    <t>Actual</t>
  </si>
  <si>
    <t>Completeness Rate</t>
  </si>
  <si>
    <t>95%</t>
  </si>
  <si>
    <t>61.1%</t>
  </si>
  <si>
    <t>✗ Below</t>
  </si>
  <si>
    <t>Duplicate Rate</t>
  </si>
  <si>
    <t>&lt; 0.5%</t>
  </si>
  <si>
    <t>11.1%</t>
  </si>
  <si>
    <t>Schema Conformance</t>
  </si>
  <si>
    <t>98%</t>
  </si>
  <si>
    <t>71.4%</t>
  </si>
  <si>
    <t>Referential Integrity</t>
  </si>
  <si>
    <t>100%</t>
  </si>
  <si>
    <t>85.7%</t>
  </si>
  <si>
    <t>Issue Resolution SLA</t>
  </si>
  <si>
    <t>90%</t>
  </si>
  <si>
    <t>N/A</t>
  </si>
  <si>
    <t>— Pending</t>
  </si>
  <si>
    <t>Master Data Coverage</t>
  </si>
  <si>
    <t>57.1%</t>
  </si>
  <si>
    <t>E. Weekly DQ Score Trend</t>
  </si>
  <si>
    <t>Week</t>
  </si>
  <si>
    <t>Week Label</t>
  </si>
  <si>
    <t>DQ Score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</si>
  <si>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</si>
  <si>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</si>
  <si>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</si>
  <si>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</si>
  <si>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</si>
  <si>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</si>
  <si>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</si>
  <si>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</si>
  <si>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Data Quality Issue Log — Full Detail</t>
  </si>
  <si>
    <t>Issue_ID</t>
  </si>
  <si>
    <t>Field</t>
  </si>
  <si>
    <t>Issue_Type</t>
  </si>
  <si>
    <t>Issue_Description</t>
  </si>
  <si>
    <t>Assigned_To</t>
  </si>
  <si>
    <t>DQ-001</t>
  </si>
  <si>
    <t>Customer_Master</t>
  </si>
  <si>
    <t>NULL Customer_ID for Sarah Johnson</t>
  </si>
  <si>
    <t>Open</t>
  </si>
  <si>
    <t>Data Steward</t>
  </si>
  <si>
    <t>DQ-002</t>
  </si>
  <si>
    <t>Uniqueness</t>
  </si>
  <si>
    <t>Customer_ID 1002 duplicated across 2 rows</t>
  </si>
  <si>
    <t>DQ-003</t>
  </si>
  <si>
    <t>maria@email missing TLD — invalid format</t>
  </si>
  <si>
    <t>Engineering</t>
  </si>
  <si>
    <t>DQ-004</t>
  </si>
  <si>
    <t>Format</t>
  </si>
  <si>
    <t>Customer 1002: 10-digit phone violation</t>
  </si>
  <si>
    <t>DQ-005</t>
  </si>
  <si>
    <t>Standardization</t>
  </si>
  <si>
    <t>United States vs USA — inconsistent naming</t>
  </si>
  <si>
    <t>DQ-006</t>
  </si>
  <si>
    <t>Customer 1003 Phone is NULL</t>
  </si>
  <si>
    <t>DQ-007</t>
  </si>
  <si>
    <t>Sales_Orders</t>
  </si>
  <si>
    <t>SO1003: Amount = -200 on Completed order</t>
  </si>
  <si>
    <t>Finance</t>
  </si>
  <si>
    <t>DQ-008</t>
  </si>
  <si>
    <t>SO1007: Amount is NULL on Completed order</t>
  </si>
  <si>
    <t>DQ-009</t>
  </si>
  <si>
    <t>SO1004: Cancelled order with Amount=500</t>
  </si>
  <si>
    <t>DQ-010</t>
  </si>
  <si>
    <t>Customer 1001 on 2 separate orders — verify</t>
  </si>
  <si>
    <t>Under Review</t>
  </si>
  <si>
    <t>DQ-011</t>
  </si>
  <si>
    <t>Product_Table</t>
  </si>
  <si>
    <t>P100 &amp; P103 both Laptop at $1200 — duplicate</t>
  </si>
  <si>
    <t>Product Team</t>
  </si>
  <si>
    <t>DQ-012</t>
  </si>
  <si>
    <t>P102 Desk Chair: Price is NULL</t>
  </si>
  <si>
    <t>DQ-013</t>
  </si>
  <si>
    <t>P104 Monitor: Created_By is NULL</t>
  </si>
  <si>
    <t>DQ-014</t>
  </si>
  <si>
    <t>P101: 'electronics' vs 'Electronics' case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</si>
</sst>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1A1A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10"/>
      <color rgb="FF2E75B6"/>
      <name val="Arial"/>
      <charset val="1"/>
    </font>
    <font>
      <b/>
      <sz val="11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C55A11"/>
      <name val="Arial"/>
      <charset val="1"/>
    </font>
    <font>
      <b/>
      <sz val="9"/>
      <color rgb="FF2E75B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14" customWidth="1"/>
    <col min="2" max="2" width="18" customWidth="1"/>
    <col min="3" max="3" width="26" customWidth="1"/>
    <col min="4" max="5" width="16" customWidth="1"/>
    <col min="6" max="6" width="14" customWidth="1"/>
    <col min="7" max="7" width="12" customWidth="1"/>
    <col min="8" max="8" width="18" customWidth="1"/>
  </cols>
  <sheetData>
    <row r="1" spans="1:8" ht="27.75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x14ac:dyDescent="0.3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15</v>
      </c>
      <c r="H4" s="6" t="s">
        <v>23</v>
      </c>
    </row>
    <row r="5" spans="1:8" x14ac:dyDescent="0.3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15</v>
      </c>
      <c r="H5" s="8" t="s">
        <v>30</v>
      </c>
    </row>
    <row r="6" spans="1:8" x14ac:dyDescent="0.3">
      <c r="A6" s="7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29</v>
      </c>
      <c r="G6" s="7" t="s">
        <v>15</v>
      </c>
      <c r="H6" s="9" t="s">
        <v>16</v>
      </c>
    </row>
    <row r="7" spans="1:8" x14ac:dyDescent="0.3">
      <c r="A7" s="3" t="s">
        <v>17</v>
      </c>
      <c r="B7" s="3" t="s">
        <v>18</v>
      </c>
      <c r="C7" s="3" t="s">
        <v>36</v>
      </c>
      <c r="D7" s="3" t="s">
        <v>37</v>
      </c>
      <c r="E7" s="3" t="s">
        <v>13</v>
      </c>
      <c r="F7" s="3" t="s">
        <v>22</v>
      </c>
      <c r="G7" s="3" t="s">
        <v>15</v>
      </c>
      <c r="H7" s="10" t="s">
        <v>38</v>
      </c>
    </row>
    <row r="8" spans="1:8" x14ac:dyDescent="0.3">
      <c r="A8" s="7" t="s">
        <v>27</v>
      </c>
      <c r="B8" s="7" t="s">
        <v>39</v>
      </c>
      <c r="C8" s="7" t="s">
        <v>40</v>
      </c>
      <c r="D8" s="7" t="s">
        <v>41</v>
      </c>
      <c r="E8" s="7" t="s">
        <v>13</v>
      </c>
      <c r="F8" s="7" t="s">
        <v>42</v>
      </c>
      <c r="G8" s="7" t="s">
        <v>15</v>
      </c>
      <c r="H8" s="8" t="s">
        <v>43</v>
      </c>
    </row>
    <row r="9" spans="1:8" x14ac:dyDescent="0.3">
      <c r="A9" s="7" t="s">
        <v>44</v>
      </c>
      <c r="B9" s="7" t="s">
        <v>45</v>
      </c>
      <c r="C9" s="7" t="s">
        <v>46</v>
      </c>
      <c r="D9" s="7" t="s">
        <v>47</v>
      </c>
      <c r="E9" s="7" t="s">
        <v>48</v>
      </c>
      <c r="F9" s="7" t="s">
        <v>49</v>
      </c>
      <c r="G9" s="7" t="s">
        <v>50</v>
      </c>
      <c r="H9" s="9" t="s">
        <v>16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zoomScaleNormal="100" workbookViewId="0">
      <pane ySplit="2" topLeftCell="A3" activePane="bottomLeft" state="frozen"/>
      <selection pane="bottomLeft" activeCell="G17" sqref="G17"/>
    </sheetView>
  </sheetViews>
  <sheetFormatPr defaultColWidth="8.6640625" defaultRowHeight="14.4" x14ac:dyDescent="0.3"/>
  <cols>
    <col min="1" max="1" width="12" customWidth="1"/>
    <col min="2" max="3" width="14" customWidth="1"/>
    <col min="4" max="4" width="12" customWidth="1"/>
    <col min="5" max="5" width="10" customWidth="1"/>
    <col min="6" max="6" width="14" customWidth="1"/>
    <col min="7" max="7" width="20" customWidth="1"/>
    <col min="8" max="8" width="14" customWidth="1"/>
  </cols>
  <sheetData>
    <row r="1" spans="1:8" ht="27.75" customHeight="1" x14ac:dyDescent="0.3">
      <c r="A1" s="1" t="s">
        <v>51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52</v>
      </c>
      <c r="B2" s="2" t="s">
        <v>1</v>
      </c>
      <c r="C2" s="2" t="s">
        <v>53</v>
      </c>
      <c r="D2" s="2" t="s">
        <v>54</v>
      </c>
      <c r="E2" s="2" t="s">
        <v>55</v>
      </c>
      <c r="F2" s="2" t="s">
        <v>7</v>
      </c>
      <c r="G2" s="2" t="s">
        <v>8</v>
      </c>
      <c r="H2" s="2" t="s">
        <v>56</v>
      </c>
    </row>
    <row r="3" spans="1:8" x14ac:dyDescent="0.3">
      <c r="A3" s="3" t="s">
        <v>57</v>
      </c>
      <c r="B3" s="3" t="s">
        <v>9</v>
      </c>
      <c r="C3" s="3" t="s">
        <v>58</v>
      </c>
      <c r="D3" s="3">
        <v>1200</v>
      </c>
      <c r="E3" s="3" t="s">
        <v>59</v>
      </c>
      <c r="F3" s="3" t="s">
        <v>60</v>
      </c>
      <c r="G3" s="4" t="s">
        <v>16</v>
      </c>
      <c r="H3" s="4" t="s">
        <v>61</v>
      </c>
    </row>
    <row r="4" spans="1:8" x14ac:dyDescent="0.3">
      <c r="A4" s="5" t="s">
        <v>62</v>
      </c>
      <c r="B4" s="5" t="s">
        <v>17</v>
      </c>
      <c r="C4" s="5" t="s">
        <v>63</v>
      </c>
      <c r="D4" s="5">
        <v>850</v>
      </c>
      <c r="E4" s="5" t="s">
        <v>59</v>
      </c>
      <c r="F4" s="5" t="s">
        <v>60</v>
      </c>
      <c r="G4" s="11" t="s">
        <v>16</v>
      </c>
      <c r="H4" s="11" t="s">
        <v>61</v>
      </c>
    </row>
    <row r="5" spans="1:8" x14ac:dyDescent="0.3">
      <c r="A5" s="7" t="s">
        <v>64</v>
      </c>
      <c r="B5" s="7" t="s">
        <v>24</v>
      </c>
      <c r="C5" s="7" t="s">
        <v>65</v>
      </c>
      <c r="D5" s="7">
        <v>-200</v>
      </c>
      <c r="E5" s="7" t="s">
        <v>59</v>
      </c>
      <c r="F5" s="7" t="s">
        <v>60</v>
      </c>
      <c r="G5" s="8" t="s">
        <v>66</v>
      </c>
      <c r="H5" s="8" t="s">
        <v>67</v>
      </c>
    </row>
    <row r="6" spans="1:8" x14ac:dyDescent="0.3">
      <c r="A6" s="7" t="s">
        <v>68</v>
      </c>
      <c r="B6" s="7" t="s">
        <v>31</v>
      </c>
      <c r="C6" s="7" t="s">
        <v>65</v>
      </c>
      <c r="D6" s="7">
        <v>500</v>
      </c>
      <c r="E6" s="7" t="s">
        <v>59</v>
      </c>
      <c r="F6" s="7" t="s">
        <v>69</v>
      </c>
      <c r="G6" s="8" t="s">
        <v>70</v>
      </c>
      <c r="H6" s="8" t="s">
        <v>67</v>
      </c>
    </row>
    <row r="7" spans="1:8" x14ac:dyDescent="0.3">
      <c r="A7" s="3" t="s">
        <v>71</v>
      </c>
      <c r="B7" s="3" t="s">
        <v>9</v>
      </c>
      <c r="C7" s="3" t="s">
        <v>72</v>
      </c>
      <c r="D7" s="3">
        <v>1200</v>
      </c>
      <c r="E7" s="3" t="s">
        <v>59</v>
      </c>
      <c r="F7" s="3" t="s">
        <v>60</v>
      </c>
      <c r="G7" s="4" t="s">
        <v>16</v>
      </c>
      <c r="H7" s="4" t="s">
        <v>61</v>
      </c>
    </row>
    <row r="8" spans="1:8" x14ac:dyDescent="0.3">
      <c r="A8" s="5" t="s">
        <v>73</v>
      </c>
      <c r="B8" s="5" t="s">
        <v>74</v>
      </c>
      <c r="C8" s="5" t="s">
        <v>75</v>
      </c>
      <c r="D8" s="5">
        <v>700</v>
      </c>
      <c r="E8" s="5" t="s">
        <v>59</v>
      </c>
      <c r="F8" s="5" t="s">
        <v>60</v>
      </c>
      <c r="G8" s="11" t="s">
        <v>16</v>
      </c>
      <c r="H8" s="11" t="s">
        <v>61</v>
      </c>
    </row>
    <row r="9" spans="1:8" x14ac:dyDescent="0.3">
      <c r="A9" s="7" t="s">
        <v>76</v>
      </c>
      <c r="B9" s="7" t="s">
        <v>24</v>
      </c>
      <c r="C9" s="7" t="s">
        <v>77</v>
      </c>
      <c r="D9" s="7"/>
      <c r="E9" s="7" t="s">
        <v>59</v>
      </c>
      <c r="F9" s="7" t="s">
        <v>60</v>
      </c>
      <c r="G9" s="8" t="s">
        <v>78</v>
      </c>
      <c r="H9" s="8" t="s">
        <v>67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640625" defaultRowHeight="14.4" x14ac:dyDescent="0.3"/>
  <cols>
    <col min="1" max="1" width="12" customWidth="1"/>
    <col min="2" max="3" width="16" customWidth="1"/>
    <col min="4" max="4" width="10" customWidth="1"/>
    <col min="5" max="5" width="14" customWidth="1"/>
    <col min="6" max="6" width="22" customWidth="1"/>
    <col min="7" max="7" width="10" customWidth="1"/>
  </cols>
  <sheetData>
    <row r="1" spans="1:7" ht="27.75" customHeight="1" x14ac:dyDescent="0.3">
      <c r="A1" s="1" t="s">
        <v>79</v>
      </c>
      <c r="B1" s="1"/>
      <c r="C1" s="1"/>
      <c r="D1" s="1"/>
      <c r="E1" s="1"/>
      <c r="F1" s="1"/>
      <c r="G1" s="1"/>
    </row>
    <row r="2" spans="1:7" x14ac:dyDescent="0.3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</v>
      </c>
      <c r="G2" s="2" t="s">
        <v>85</v>
      </c>
    </row>
    <row r="3" spans="1:7" x14ac:dyDescent="0.3">
      <c r="A3" s="7" t="s">
        <v>86</v>
      </c>
      <c r="B3" s="7" t="s">
        <v>87</v>
      </c>
      <c r="C3" s="7" t="s">
        <v>88</v>
      </c>
      <c r="D3" s="7">
        <v>1200</v>
      </c>
      <c r="E3" s="7" t="s">
        <v>89</v>
      </c>
      <c r="F3" s="8" t="s">
        <v>90</v>
      </c>
      <c r="G3" s="9" t="s">
        <v>61</v>
      </c>
    </row>
    <row r="4" spans="1:7" x14ac:dyDescent="0.3">
      <c r="A4" s="7" t="s">
        <v>91</v>
      </c>
      <c r="B4" s="7" t="s">
        <v>92</v>
      </c>
      <c r="C4" s="7" t="s">
        <v>93</v>
      </c>
      <c r="D4" s="7">
        <v>150</v>
      </c>
      <c r="E4" s="7" t="s">
        <v>94</v>
      </c>
      <c r="F4" s="8" t="s">
        <v>95</v>
      </c>
      <c r="G4" s="9" t="s">
        <v>61</v>
      </c>
    </row>
    <row r="5" spans="1:7" x14ac:dyDescent="0.3">
      <c r="A5" s="7" t="s">
        <v>96</v>
      </c>
      <c r="B5" s="7" t="s">
        <v>97</v>
      </c>
      <c r="C5" s="7" t="s">
        <v>98</v>
      </c>
      <c r="D5" s="7"/>
      <c r="E5" s="7" t="s">
        <v>89</v>
      </c>
      <c r="F5" s="8" t="s">
        <v>99</v>
      </c>
      <c r="G5" s="8" t="s">
        <v>67</v>
      </c>
    </row>
    <row r="6" spans="1:7" x14ac:dyDescent="0.3">
      <c r="A6" s="7" t="s">
        <v>100</v>
      </c>
      <c r="B6" s="7" t="s">
        <v>87</v>
      </c>
      <c r="C6" s="7" t="s">
        <v>88</v>
      </c>
      <c r="D6" s="7">
        <v>1200</v>
      </c>
      <c r="E6" s="7" t="s">
        <v>89</v>
      </c>
      <c r="F6" s="8" t="s">
        <v>38</v>
      </c>
      <c r="G6" s="9" t="s">
        <v>61</v>
      </c>
    </row>
    <row r="7" spans="1:7" x14ac:dyDescent="0.3">
      <c r="A7" s="7" t="s">
        <v>101</v>
      </c>
      <c r="B7" s="7" t="s">
        <v>102</v>
      </c>
      <c r="C7" s="7" t="s">
        <v>88</v>
      </c>
      <c r="D7" s="7">
        <v>300</v>
      </c>
      <c r="E7" s="7"/>
      <c r="F7" s="8" t="s">
        <v>103</v>
      </c>
      <c r="G7" s="9" t="s">
        <v>61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showGridLines="0" zoomScaleNormal="100" workbookViewId="0">
      <selection activeCell="A27" sqref="A27"/>
    </sheetView>
  </sheetViews>
  <sheetFormatPr defaultColWidth="8.6640625" defaultRowHeight="14.4" x14ac:dyDescent="0.3"/>
  <cols>
    <col min="1" max="1" width="24" customWidth="1"/>
    <col min="2" max="2" width="14" customWidth="1"/>
    <col min="3" max="3" width="16" customWidth="1"/>
    <col min="4" max="4" width="14" customWidth="1"/>
  </cols>
  <sheetData>
    <row r="1" spans="1:4" ht="27.75" customHeight="1" x14ac:dyDescent="0.3">
      <c r="A1" s="1" t="s">
        <v>104</v>
      </c>
      <c r="B1" s="1"/>
      <c r="C1" s="1"/>
      <c r="D1" s="1"/>
    </row>
    <row r="2" spans="1:4" x14ac:dyDescent="0.3">
      <c r="A2" s="12" t="s">
        <v>105</v>
      </c>
    </row>
    <row r="3" spans="1:4" ht="26.4" x14ac:dyDescent="0.3">
      <c r="A3" s="2" t="s">
        <v>106</v>
      </c>
      <c r="B3" s="2" t="s">
        <v>107</v>
      </c>
      <c r="C3" s="2" t="s">
        <v>108</v>
      </c>
      <c r="D3" s="2" t="s">
        <v>109</v>
      </c>
    </row>
    <row r="4" spans="1:4" x14ac:dyDescent="0.3">
      <c r="A4" s="3" t="s">
        <v>110</v>
      </c>
      <c r="B4" s="3">
        <v>40</v>
      </c>
      <c r="C4" s="3">
        <v>60</v>
      </c>
      <c r="D4" s="3">
        <f>B4*C4/100</f>
        <v>24</v>
      </c>
    </row>
    <row r="5" spans="1:4" x14ac:dyDescent="0.3">
      <c r="A5" s="5" t="s">
        <v>111</v>
      </c>
      <c r="B5" s="5">
        <v>30</v>
      </c>
      <c r="C5" s="5">
        <v>65</v>
      </c>
      <c r="D5" s="5">
        <f>B5*C5/100</f>
        <v>19.5</v>
      </c>
    </row>
    <row r="6" spans="1:4" x14ac:dyDescent="0.3">
      <c r="A6" s="3" t="s">
        <v>112</v>
      </c>
      <c r="B6" s="3">
        <v>20</v>
      </c>
      <c r="C6" s="3">
        <v>55</v>
      </c>
      <c r="D6" s="3">
        <f>B6*C6/100</f>
        <v>11</v>
      </c>
    </row>
    <row r="7" spans="1:4" x14ac:dyDescent="0.3">
      <c r="A7" s="5" t="s">
        <v>113</v>
      </c>
      <c r="B7" s="5">
        <v>10</v>
      </c>
      <c r="C7" s="5">
        <v>75</v>
      </c>
      <c r="D7" s="5">
        <f>B7*C7/100</f>
        <v>7.5</v>
      </c>
    </row>
    <row r="8" spans="1:4" ht="26.4" x14ac:dyDescent="0.3">
      <c r="A8" s="13" t="s">
        <v>114</v>
      </c>
      <c r="B8" s="13">
        <f>SUM(B4:B7)</f>
        <v>100</v>
      </c>
      <c r="C8" s="13" t="s">
        <v>115</v>
      </c>
      <c r="D8" s="14">
        <f>SUM(D4:D7)</f>
        <v>62</v>
      </c>
    </row>
    <row r="9" spans="1:4" ht="7.5" customHeight="1" x14ac:dyDescent="0.3"/>
    <row r="10" spans="1:4" x14ac:dyDescent="0.3">
      <c r="A10" s="12" t="s">
        <v>116</v>
      </c>
    </row>
    <row r="11" spans="1:4" x14ac:dyDescent="0.3">
      <c r="A11" s="2" t="s">
        <v>117</v>
      </c>
      <c r="B11" s="2" t="s">
        <v>118</v>
      </c>
      <c r="C11" s="2" t="s">
        <v>119</v>
      </c>
      <c r="D11" s="2" t="s">
        <v>120</v>
      </c>
    </row>
    <row r="12" spans="1:4" x14ac:dyDescent="0.3">
      <c r="A12" s="7" t="s">
        <v>121</v>
      </c>
      <c r="B12" s="7">
        <v>3</v>
      </c>
      <c r="C12" s="15">
        <f>B12/SUM($B$12:$B$15)</f>
        <v>0.21428571428571427</v>
      </c>
      <c r="D12" s="16" t="s">
        <v>122</v>
      </c>
    </row>
    <row r="13" spans="1:4" x14ac:dyDescent="0.3">
      <c r="A13" s="17" t="s">
        <v>123</v>
      </c>
      <c r="B13" s="17">
        <v>5</v>
      </c>
      <c r="C13" s="18">
        <f>B13/SUM($B$12:$B$15)</f>
        <v>0.35714285714285715</v>
      </c>
      <c r="D13" s="16" t="s">
        <v>124</v>
      </c>
    </row>
    <row r="14" spans="1:4" x14ac:dyDescent="0.3">
      <c r="A14" s="19" t="s">
        <v>125</v>
      </c>
      <c r="B14" s="19">
        <v>4</v>
      </c>
      <c r="C14" s="20">
        <f>B14/SUM($B$12:$B$15)</f>
        <v>0.2857142857142857</v>
      </c>
      <c r="D14" s="16" t="s">
        <v>126</v>
      </c>
    </row>
    <row r="15" spans="1:4" x14ac:dyDescent="0.3">
      <c r="A15" s="21" t="s">
        <v>127</v>
      </c>
      <c r="B15" s="21">
        <v>2</v>
      </c>
      <c r="C15" s="22">
        <f>B15/SUM($B$12:$B$15)</f>
        <v>0.14285714285714285</v>
      </c>
      <c r="D15" s="16" t="s">
        <v>128</v>
      </c>
    </row>
    <row r="16" spans="1:4" x14ac:dyDescent="0.3">
      <c r="A16" s="23" t="s">
        <v>129</v>
      </c>
      <c r="B16" s="23">
        <f>SUM(B12:B15)</f>
        <v>14</v>
      </c>
    </row>
    <row r="17" spans="1:6" ht="7.5" customHeight="1" x14ac:dyDescent="0.3"/>
    <row r="18" spans="1:6" x14ac:dyDescent="0.3">
      <c r="A18" s="12" t="s">
        <v>130</v>
      </c>
    </row>
    <row r="19" spans="1:6" ht="26.4" x14ac:dyDescent="0.3">
      <c r="A19" s="2" t="s">
        <v>131</v>
      </c>
      <c r="B19" s="2" t="s">
        <v>121</v>
      </c>
      <c r="C19" s="2" t="s">
        <v>123</v>
      </c>
      <c r="D19" s="2" t="s">
        <v>125</v>
      </c>
      <c r="E19" s="2" t="s">
        <v>127</v>
      </c>
      <c r="F19" s="2" t="s">
        <v>132</v>
      </c>
    </row>
    <row r="20" spans="1:6" x14ac:dyDescent="0.3">
      <c r="A20" s="3" t="s">
        <v>133</v>
      </c>
      <c r="B20" s="3">
        <v>2</v>
      </c>
      <c r="C20" s="3">
        <v>2</v>
      </c>
      <c r="D20" s="3">
        <v>2</v>
      </c>
      <c r="E20" s="3">
        <v>1</v>
      </c>
      <c r="F20" s="3">
        <f>SUM(B20:E20)</f>
        <v>7</v>
      </c>
    </row>
    <row r="21" spans="1:6" x14ac:dyDescent="0.3">
      <c r="A21" s="5" t="s">
        <v>134</v>
      </c>
      <c r="B21" s="5">
        <v>1</v>
      </c>
      <c r="C21" s="5">
        <v>2</v>
      </c>
      <c r="D21" s="5">
        <v>1</v>
      </c>
      <c r="E21" s="5">
        <v>0</v>
      </c>
      <c r="F21" s="5">
        <f>SUM(B21:E21)</f>
        <v>4</v>
      </c>
    </row>
    <row r="22" spans="1:6" x14ac:dyDescent="0.3">
      <c r="A22" s="3" t="s">
        <v>135</v>
      </c>
      <c r="B22" s="3">
        <v>0</v>
      </c>
      <c r="C22" s="3">
        <v>1</v>
      </c>
      <c r="D22" s="3">
        <v>1</v>
      </c>
      <c r="E22" s="3">
        <v>1</v>
      </c>
      <c r="F22" s="3">
        <f>SUM(B22:E22)</f>
        <v>3</v>
      </c>
    </row>
    <row r="25" spans="1:6" x14ac:dyDescent="0.3">
      <c r="A25" s="12" t="s">
        <v>136</v>
      </c>
    </row>
    <row r="26" spans="1:6" x14ac:dyDescent="0.3">
      <c r="A26" s="2" t="s">
        <v>137</v>
      </c>
      <c r="B26" s="2" t="s">
        <v>138</v>
      </c>
      <c r="C26" s="2" t="s">
        <v>139</v>
      </c>
      <c r="D26" s="2" t="s">
        <v>7</v>
      </c>
    </row>
    <row r="27" spans="1:6" x14ac:dyDescent="0.3">
      <c r="A27" s="3" t="s">
        <v>140</v>
      </c>
      <c r="B27" s="3" t="s">
        <v>141</v>
      </c>
      <c r="C27" s="3" t="s">
        <v>142</v>
      </c>
      <c r="D27" s="10" t="s">
        <v>143</v>
      </c>
    </row>
    <row r="28" spans="1:6" x14ac:dyDescent="0.3">
      <c r="A28" s="5" t="s">
        <v>144</v>
      </c>
      <c r="B28" s="5" t="s">
        <v>145</v>
      </c>
      <c r="C28" s="5" t="s">
        <v>146</v>
      </c>
      <c r="D28" s="6" t="s">
        <v>143</v>
      </c>
    </row>
    <row r="29" spans="1:6" x14ac:dyDescent="0.3">
      <c r="A29" s="3" t="s">
        <v>147</v>
      </c>
      <c r="B29" s="3" t="s">
        <v>148</v>
      </c>
      <c r="C29" s="3" t="s">
        <v>149</v>
      </c>
      <c r="D29" s="10" t="s">
        <v>143</v>
      </c>
    </row>
    <row r="30" spans="1:6" x14ac:dyDescent="0.3">
      <c r="A30" s="5" t="s">
        <v>150</v>
      </c>
      <c r="B30" s="5" t="s">
        <v>151</v>
      </c>
      <c r="C30" s="5" t="s">
        <v>152</v>
      </c>
      <c r="D30" s="6" t="s">
        <v>143</v>
      </c>
    </row>
    <row r="31" spans="1:6" x14ac:dyDescent="0.3">
      <c r="A31" s="3" t="s">
        <v>153</v>
      </c>
      <c r="B31" s="3" t="s">
        <v>154</v>
      </c>
      <c r="C31" s="3" t="s">
        <v>155</v>
      </c>
      <c r="D31" s="24" t="s">
        <v>156</v>
      </c>
    </row>
    <row r="32" spans="1:6" x14ac:dyDescent="0.3">
      <c r="A32" s="5" t="s">
        <v>157</v>
      </c>
      <c r="B32" s="5" t="s">
        <v>141</v>
      </c>
      <c r="C32" s="5" t="s">
        <v>158</v>
      </c>
      <c r="D32" s="6" t="s">
        <v>143</v>
      </c>
    </row>
    <row r="35" spans="1:4" x14ac:dyDescent="0.3">
      <c r="A35" s="12" t="s">
        <v>159</v>
      </c>
    </row>
    <row r="36" spans="1:4" x14ac:dyDescent="0.3">
      <c r="A36" s="2" t="s">
        <v>160</v>
      </c>
      <c r="B36" s="2" t="s">
        <v>161</v>
      </c>
      <c r="C36" s="2" t="s">
        <v>162</v>
      </c>
      <c r="D36" s="2" t="s">
        <v>138</v>
      </c>
    </row>
    <row r="37" spans="1:4" x14ac:dyDescent="0.3">
      <c r="A37" s="3">
        <v>1</v>
      </c>
      <c r="B37" s="3" t="s">
        <v>163</v>
      </c>
      <c r="C37" s="3">
        <v>48</v>
      </c>
      <c r="D37" s="3">
        <v>75</v>
      </c>
    </row>
    <row r="38" spans="1:4" x14ac:dyDescent="0.3">
      <c r="A38" s="5">
        <v>2</v>
      </c>
      <c r="B38" s="5" t="s">
        <v>164</v>
      </c>
      <c r="C38" s="5">
        <v>51</v>
      </c>
      <c r="D38" s="5">
        <v>75</v>
      </c>
    </row>
    <row r="39" spans="1:4" x14ac:dyDescent="0.3">
      <c r="A39" s="3">
        <v>3</v>
      </c>
      <c r="B39" s="3" t="s">
        <v>165</v>
      </c>
      <c r="C39" s="3">
        <v>53</v>
      </c>
      <c r="D39" s="3">
        <v>75</v>
      </c>
    </row>
    <row r="40" spans="1:4" x14ac:dyDescent="0.3">
      <c r="A40" s="5">
        <v>4</v>
      </c>
      <c r="B40" s="5" t="s">
        <v>166</v>
      </c>
      <c r="C40" s="5">
        <v>55</v>
      </c>
      <c r="D40" s="5">
        <v>75</v>
      </c>
    </row>
    <row r="41" spans="1:4" x14ac:dyDescent="0.3">
      <c r="A41" s="3">
        <v>5</v>
      </c>
      <c r="B41" s="3" t="s">
        <v>167</v>
      </c>
      <c r="C41" s="3">
        <v>57</v>
      </c>
      <c r="D41" s="3">
        <v>75</v>
      </c>
    </row>
    <row r="42" spans="1:4" x14ac:dyDescent="0.3">
      <c r="A42" s="5">
        <v>6</v>
      </c>
      <c r="B42" s="5" t="s">
        <v>168</v>
      </c>
      <c r="C42" s="5">
        <v>58</v>
      </c>
      <c r="D42" s="5">
        <v>75</v>
      </c>
    </row>
    <row r="43" spans="1:4" x14ac:dyDescent="0.3">
      <c r="A43" s="3">
        <v>7</v>
      </c>
      <c r="B43" s="3" t="s">
        <v>169</v>
      </c>
      <c r="C43" s="3">
        <v>60</v>
      </c>
      <c r="D43" s="3">
        <v>75</v>
      </c>
    </row>
    <row r="44" spans="1:4" x14ac:dyDescent="0.3">
      <c r="A44" s="5">
        <v>8</v>
      </c>
      <c r="B44" s="5" t="s">
        <v>170</v>
      </c>
      <c r="C44" s="5">
        <v>62</v>
      </c>
      <c r="D44" s="5">
        <v>75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tabSelected="1" zoomScaleNormal="100" workbookViewId="0">
      <pane ySplit="2" topLeftCell="A3" activePane="bottomLeft" state="frozen"/>
      <selection pane="bottomLeft" activeCell="A12" sqref="A12:XFD12"/>
    </sheetView>
  </sheetViews>
  <sheetFormatPr defaultColWidth="8.6640625" defaultRowHeight="14.4" x14ac:dyDescent="0.3"/>
  <cols>
    <col min="1" max="1" width="10" customWidth="1"/>
    <col min="2" max="3" width="18" customWidth="1"/>
    <col min="4" max="4" width="22" customWidth="1"/>
    <col min="5" max="5" width="48" customWidth="1"/>
    <col min="6" max="6" width="12" customWidth="1"/>
    <col min="7" max="7" width="14" customWidth="1"/>
    <col min="8" max="8" width="16" customWidth="1"/>
  </cols>
  <sheetData>
    <row r="1" spans="1:8" ht="27.75" customHeight="1" x14ac:dyDescent="0.3">
      <c r="A1" s="1" t="s">
        <v>171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172</v>
      </c>
      <c r="B2" s="2" t="s">
        <v>131</v>
      </c>
      <c r="C2" s="2" t="s">
        <v>173</v>
      </c>
      <c r="D2" s="2" t="s">
        <v>174</v>
      </c>
      <c r="E2" s="2" t="s">
        <v>175</v>
      </c>
      <c r="F2" s="2" t="s">
        <v>117</v>
      </c>
      <c r="G2" s="2" t="s">
        <v>7</v>
      </c>
      <c r="H2" s="2" t="s">
        <v>176</v>
      </c>
    </row>
    <row r="3" spans="1:8" x14ac:dyDescent="0.3">
      <c r="A3" s="3" t="s">
        <v>177</v>
      </c>
      <c r="B3" s="3" t="s">
        <v>178</v>
      </c>
      <c r="C3" s="3" t="s">
        <v>1</v>
      </c>
      <c r="D3" s="3" t="s">
        <v>110</v>
      </c>
      <c r="E3" s="25" t="s">
        <v>179</v>
      </c>
      <c r="F3" s="8" t="s">
        <v>121</v>
      </c>
      <c r="G3" s="3" t="s">
        <v>180</v>
      </c>
      <c r="H3" s="3" t="s">
        <v>181</v>
      </c>
    </row>
    <row r="4" spans="1:8" x14ac:dyDescent="0.3">
      <c r="A4" s="5" t="s">
        <v>182</v>
      </c>
      <c r="B4" s="5" t="s">
        <v>178</v>
      </c>
      <c r="C4" s="5" t="s">
        <v>1</v>
      </c>
      <c r="D4" s="5" t="s">
        <v>183</v>
      </c>
      <c r="E4" s="26" t="s">
        <v>184</v>
      </c>
      <c r="F4" s="8" t="s">
        <v>121</v>
      </c>
      <c r="G4" s="5" t="s">
        <v>180</v>
      </c>
      <c r="H4" s="5" t="s">
        <v>181</v>
      </c>
    </row>
    <row r="5" spans="1:8" x14ac:dyDescent="0.3">
      <c r="A5" s="3" t="s">
        <v>185</v>
      </c>
      <c r="B5" s="3" t="s">
        <v>178</v>
      </c>
      <c r="C5" s="3" t="s">
        <v>3</v>
      </c>
      <c r="D5" s="3" t="s">
        <v>113</v>
      </c>
      <c r="E5" s="25" t="s">
        <v>186</v>
      </c>
      <c r="F5" s="27" t="s">
        <v>123</v>
      </c>
      <c r="G5" s="3" t="s">
        <v>180</v>
      </c>
      <c r="H5" s="3" t="s">
        <v>187</v>
      </c>
    </row>
    <row r="6" spans="1:8" x14ac:dyDescent="0.3">
      <c r="A6" s="5" t="s">
        <v>188</v>
      </c>
      <c r="B6" s="5" t="s">
        <v>178</v>
      </c>
      <c r="C6" s="5" t="s">
        <v>4</v>
      </c>
      <c r="D6" s="5" t="s">
        <v>189</v>
      </c>
      <c r="E6" s="26" t="s">
        <v>190</v>
      </c>
      <c r="F6" s="27" t="s">
        <v>123</v>
      </c>
      <c r="G6" s="5" t="s">
        <v>180</v>
      </c>
      <c r="H6" s="5" t="s">
        <v>187</v>
      </c>
    </row>
    <row r="7" spans="1:8" x14ac:dyDescent="0.3">
      <c r="A7" s="3" t="s">
        <v>191</v>
      </c>
      <c r="B7" s="3" t="s">
        <v>178</v>
      </c>
      <c r="C7" s="3" t="s">
        <v>5</v>
      </c>
      <c r="D7" s="3" t="s">
        <v>192</v>
      </c>
      <c r="E7" s="25" t="s">
        <v>193</v>
      </c>
      <c r="F7" s="27" t="s">
        <v>123</v>
      </c>
      <c r="G7" s="3" t="s">
        <v>180</v>
      </c>
      <c r="H7" s="3" t="s">
        <v>181</v>
      </c>
    </row>
    <row r="8" spans="1:8" x14ac:dyDescent="0.3">
      <c r="A8" s="5" t="s">
        <v>194</v>
      </c>
      <c r="B8" s="5" t="s">
        <v>178</v>
      </c>
      <c r="C8" s="5" t="s">
        <v>4</v>
      </c>
      <c r="D8" s="5" t="s">
        <v>110</v>
      </c>
      <c r="E8" s="26" t="s">
        <v>195</v>
      </c>
      <c r="F8" s="28" t="s">
        <v>125</v>
      </c>
      <c r="G8" s="5" t="s">
        <v>180</v>
      </c>
      <c r="H8" s="5" t="s">
        <v>181</v>
      </c>
    </row>
    <row r="9" spans="1:8" x14ac:dyDescent="0.3">
      <c r="A9" s="3" t="s">
        <v>196</v>
      </c>
      <c r="B9" s="3" t="s">
        <v>197</v>
      </c>
      <c r="C9" s="3" t="s">
        <v>54</v>
      </c>
      <c r="D9" s="3" t="s">
        <v>113</v>
      </c>
      <c r="E9" s="25" t="s">
        <v>198</v>
      </c>
      <c r="F9" s="8" t="s">
        <v>121</v>
      </c>
      <c r="G9" s="3" t="s">
        <v>180</v>
      </c>
      <c r="H9" s="3" t="s">
        <v>199</v>
      </c>
    </row>
    <row r="10" spans="1:8" x14ac:dyDescent="0.3">
      <c r="A10" s="5" t="s">
        <v>200</v>
      </c>
      <c r="B10" s="5" t="s">
        <v>197</v>
      </c>
      <c r="C10" s="5" t="s">
        <v>54</v>
      </c>
      <c r="D10" s="5" t="s">
        <v>110</v>
      </c>
      <c r="E10" s="26" t="s">
        <v>201</v>
      </c>
      <c r="F10" s="27" t="s">
        <v>123</v>
      </c>
      <c r="G10" s="5" t="s">
        <v>180</v>
      </c>
      <c r="H10" s="5" t="s">
        <v>199</v>
      </c>
    </row>
    <row r="11" spans="1:8" x14ac:dyDescent="0.3">
      <c r="A11" s="3" t="s">
        <v>202</v>
      </c>
      <c r="B11" s="3" t="s">
        <v>197</v>
      </c>
      <c r="C11" s="3" t="s">
        <v>7</v>
      </c>
      <c r="D11" s="3" t="s">
        <v>113</v>
      </c>
      <c r="E11" s="25" t="s">
        <v>203</v>
      </c>
      <c r="F11" s="28" t="s">
        <v>125</v>
      </c>
      <c r="G11" s="3" t="s">
        <v>180</v>
      </c>
      <c r="H11" s="3" t="s">
        <v>199</v>
      </c>
    </row>
    <row r="12" spans="1:8" x14ac:dyDescent="0.3">
      <c r="A12" s="5" t="s">
        <v>204</v>
      </c>
      <c r="B12" s="5" t="s">
        <v>197</v>
      </c>
      <c r="C12" s="5" t="s">
        <v>1</v>
      </c>
      <c r="D12" s="5" t="s">
        <v>150</v>
      </c>
      <c r="E12" s="26" t="s">
        <v>205</v>
      </c>
      <c r="F12" s="28" t="s">
        <v>125</v>
      </c>
      <c r="G12" s="5" t="s">
        <v>206</v>
      </c>
      <c r="H12" s="5" t="s">
        <v>181</v>
      </c>
    </row>
    <row r="13" spans="1:8" x14ac:dyDescent="0.3">
      <c r="A13" s="3" t="s">
        <v>207</v>
      </c>
      <c r="B13" s="3" t="s">
        <v>208</v>
      </c>
      <c r="C13" s="3" t="s">
        <v>81</v>
      </c>
      <c r="D13" s="3" t="s">
        <v>183</v>
      </c>
      <c r="E13" s="25" t="s">
        <v>209</v>
      </c>
      <c r="F13" s="27" t="s">
        <v>123</v>
      </c>
      <c r="G13" s="3" t="s">
        <v>180</v>
      </c>
      <c r="H13" s="3" t="s">
        <v>210</v>
      </c>
    </row>
    <row r="14" spans="1:8" x14ac:dyDescent="0.3">
      <c r="A14" s="5" t="s">
        <v>211</v>
      </c>
      <c r="B14" s="5" t="s">
        <v>208</v>
      </c>
      <c r="C14" s="5" t="s">
        <v>83</v>
      </c>
      <c r="D14" s="5" t="s">
        <v>110</v>
      </c>
      <c r="E14" s="26" t="s">
        <v>212</v>
      </c>
      <c r="F14" s="27" t="s">
        <v>123</v>
      </c>
      <c r="G14" s="5" t="s">
        <v>180</v>
      </c>
      <c r="H14" s="5" t="s">
        <v>210</v>
      </c>
    </row>
    <row r="15" spans="1:8" x14ac:dyDescent="0.3">
      <c r="A15" s="3" t="s">
        <v>213</v>
      </c>
      <c r="B15" s="3" t="s">
        <v>208</v>
      </c>
      <c r="C15" s="3" t="s">
        <v>84</v>
      </c>
      <c r="D15" s="3" t="s">
        <v>110</v>
      </c>
      <c r="E15" s="25" t="s">
        <v>214</v>
      </c>
      <c r="F15" s="28" t="s">
        <v>125</v>
      </c>
      <c r="G15" s="3" t="s">
        <v>180</v>
      </c>
      <c r="H15" s="3" t="s">
        <v>181</v>
      </c>
    </row>
    <row r="16" spans="1:8" x14ac:dyDescent="0.3">
      <c r="A16" s="5" t="s">
        <v>215</v>
      </c>
      <c r="B16" s="5" t="s">
        <v>208</v>
      </c>
      <c r="C16" s="5" t="s">
        <v>82</v>
      </c>
      <c r="D16" s="5" t="s">
        <v>192</v>
      </c>
      <c r="E16" s="26" t="s">
        <v>216</v>
      </c>
      <c r="F16" s="29" t="s">
        <v>127</v>
      </c>
      <c r="G16" s="5" t="s">
        <v>180</v>
      </c>
      <c r="H16" s="5" t="s">
        <v>187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</vt:lpstr>
      <vt:lpstr>Sales_Orders</vt:lpstr>
      <vt:lpstr>Product_Table</vt:lpstr>
      <vt:lpstr>DQ_Metrics</vt:lpstr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Putta</cp:lastModifiedBy>
  <cp:revision>0</cp:revision>
  <dcterms:created xsi:type="dcterms:W3CDTF">2026-03-16T22:57:20Z</dcterms:created>
  <dcterms:modified xsi:type="dcterms:W3CDTF">2026-03-17T02:16:31Z</dcterms:modified>
  <dc:language>en-US</dc:language>
</cp:coreProperties>
</file>